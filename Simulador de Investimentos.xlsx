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ybandalarga-my.sharepoint.com/personal/15129_sky_com_br/Documents/Documentos/"/>
    </mc:Choice>
  </mc:AlternateContent>
  <xr:revisionPtr revIDLastSave="0" documentId="8_{2388E665-9A6F-4973-84A2-05603CEA5625}" xr6:coauthVersionLast="47" xr6:coauthVersionMax="47" xr10:uidLastSave="{00000000-0000-0000-0000-000000000000}"/>
  <bookViews>
    <workbookView xWindow="-50" yWindow="-50" windowWidth="19300" windowHeight="10180" xr2:uid="{CE5E336F-F7D2-49F6-97A4-E43E32B57B77}"/>
  </bookViews>
  <sheets>
    <sheet name="SIMULADOR" sheetId="1" r:id="rId1"/>
    <sheet name="Planilha2" sheetId="2" state="hidden" r:id="rId2"/>
  </sheets>
  <definedNames>
    <definedName name="a">SIMULADOR!$D$13</definedName>
    <definedName name="aporte">SIMULADOR!$D$9</definedName>
    <definedName name="patrimonio">SIMULADOR!$D$12</definedName>
    <definedName name="qtd_anos">SIMULADOR!$D$10</definedName>
    <definedName name="rendimento_carteira">SIMULADOR!$D$5</definedName>
    <definedName name="taxa_mensal">SIMULADOR!$D$11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1" l="1"/>
  <c r="C29" i="1"/>
  <c r="C30" i="1"/>
  <c r="D30" i="1" s="1"/>
  <c r="C31" i="1"/>
  <c r="D31" i="1" s="1"/>
  <c r="C32" i="1"/>
  <c r="D32" i="1" s="1"/>
  <c r="C27" i="1"/>
  <c r="D27" i="1" s="1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C24" i="1"/>
  <c r="C17" i="1"/>
  <c r="D17" i="1" s="1"/>
  <c r="C18" i="1"/>
  <c r="D18" i="1" s="1"/>
  <c r="C19" i="1"/>
  <c r="D19" i="1" s="1"/>
  <c r="C20" i="1"/>
  <c r="D20" i="1" s="1"/>
  <c r="C16" i="1"/>
  <c r="D16" i="1" s="1"/>
  <c r="D12" i="1"/>
  <c r="D13" i="1" s="1" a="1"/>
  <c r="D6" i="1"/>
  <c r="D29" i="1" l="1"/>
  <c r="D28" i="1"/>
  <c r="D3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<sst xmlns="http://schemas.openxmlformats.org/spreadsheetml/2006/main" count="70" uniqueCount="34">
  <si>
    <t>SIMULADOR DE INVESTIMENTOS EM FUNDOS IMOBILIÁRIOS</t>
  </si>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</sst>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/>
      </right>
      <top/>
      <bottom style="thin">
        <color theme="0" tint="-0.34998626667073579"/>
      </bottom>
      <diagonal/>
    </border>
    <border>
      <left style="medium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/>
      </left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 style="medium">
        <color theme="1"/>
      </right>
      <top style="thin">
        <color theme="0" tint="-0.34998626667073579"/>
      </top>
      <bottom style="medium">
        <color theme="1"/>
      </bottom>
      <diagonal/>
    </border>
    <border>
      <left style="medium">
        <color theme="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theme="1"/>
      </right>
      <top/>
      <bottom style="hair">
        <color theme="0" tint="-0.14996795556505021"/>
      </bottom>
      <diagonal/>
    </border>
    <border>
      <left style="medium">
        <color theme="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theme="1"/>
      </left>
      <right style="hair">
        <color theme="0" tint="-0.14996795556505021"/>
      </right>
      <top style="hair">
        <color theme="0" tint="-0.14996795556505021"/>
      </top>
      <bottom style="medium">
        <color theme="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theme="1"/>
      </bottom>
      <diagonal/>
    </border>
    <border>
      <left style="hair">
        <color theme="0" tint="-0.14996795556505021"/>
      </left>
      <right style="medium">
        <color theme="1"/>
      </right>
      <top style="hair">
        <color theme="0" tint="-0.14996795556505021"/>
      </top>
      <bottom style="medium">
        <color theme="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indent="3"/>
    </xf>
    <xf numFmtId="0" fontId="5" fillId="3" borderId="2" xfId="0" applyFont="1" applyFill="1" applyBorder="1" applyAlignment="1">
      <alignment horizontal="left" indent="3"/>
    </xf>
    <xf numFmtId="0" fontId="8" fillId="4" borderId="2" xfId="0" applyFont="1" applyFill="1" applyBorder="1" applyAlignment="1">
      <alignment horizontal="left" indent="3"/>
    </xf>
    <xf numFmtId="0" fontId="11" fillId="0" borderId="0" xfId="0" applyFont="1"/>
    <xf numFmtId="8" fontId="11" fillId="0" borderId="0" xfId="0" applyNumberFormat="1" applyFont="1"/>
    <xf numFmtId="0" fontId="3" fillId="0" borderId="0" xfId="0" applyFont="1"/>
    <xf numFmtId="164" fontId="6" fillId="4" borderId="3" xfId="0" applyNumberFormat="1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left" indent="3"/>
    </xf>
    <xf numFmtId="164" fontId="6" fillId="0" borderId="8" xfId="1" applyNumberFormat="1" applyFont="1" applyBorder="1" applyAlignment="1">
      <alignment horizontal="center"/>
    </xf>
    <xf numFmtId="0" fontId="5" fillId="3" borderId="9" xfId="0" applyFont="1" applyFill="1" applyBorder="1" applyAlignment="1">
      <alignment horizontal="left" indent="3"/>
    </xf>
    <xf numFmtId="10" fontId="6" fillId="0" borderId="10" xfId="0" applyNumberFormat="1" applyFont="1" applyBorder="1" applyAlignment="1">
      <alignment horizontal="center"/>
    </xf>
    <xf numFmtId="0" fontId="5" fillId="3" borderId="11" xfId="0" applyFont="1" applyFill="1" applyBorder="1" applyAlignment="1">
      <alignment horizontal="left" indent="3"/>
    </xf>
    <xf numFmtId="0" fontId="5" fillId="3" borderId="12" xfId="0" applyFont="1" applyFill="1" applyBorder="1" applyAlignment="1">
      <alignment horizontal="left" indent="3"/>
    </xf>
    <xf numFmtId="164" fontId="6" fillId="3" borderId="13" xfId="0" applyNumberFormat="1" applyFont="1" applyFill="1" applyBorder="1" applyAlignment="1">
      <alignment horizontal="center"/>
    </xf>
    <xf numFmtId="0" fontId="0" fillId="0" borderId="0" xfId="0" applyBorder="1"/>
    <xf numFmtId="0" fontId="12" fillId="6" borderId="4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0" fontId="7" fillId="0" borderId="10" xfId="0" applyNumberFormat="1" applyFont="1" applyBorder="1" applyAlignment="1">
      <alignment horizontal="center"/>
    </xf>
    <xf numFmtId="0" fontId="8" fillId="4" borderId="9" xfId="0" applyFont="1" applyFill="1" applyBorder="1" applyAlignment="1">
      <alignment horizontal="left" indent="3"/>
    </xf>
    <xf numFmtId="8" fontId="7" fillId="4" borderId="10" xfId="0" applyNumberFormat="1" applyFont="1" applyFill="1" applyBorder="1" applyAlignment="1">
      <alignment horizontal="center"/>
    </xf>
    <xf numFmtId="0" fontId="8" fillId="4" borderId="11" xfId="0" applyFont="1" applyFill="1" applyBorder="1" applyAlignment="1">
      <alignment horizontal="left" indent="3"/>
    </xf>
    <xf numFmtId="0" fontId="8" fillId="4" borderId="12" xfId="0" applyFont="1" applyFill="1" applyBorder="1" applyAlignment="1">
      <alignment horizontal="left" indent="3"/>
    </xf>
    <xf numFmtId="8" fontId="7" fillId="4" borderId="13" xfId="0" applyNumberFormat="1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left" indent="3"/>
    </xf>
    <xf numFmtId="164" fontId="6" fillId="4" borderId="15" xfId="0" applyNumberFormat="1" applyFont="1" applyFill="1" applyBorder="1" applyAlignment="1">
      <alignment horizontal="center"/>
    </xf>
    <xf numFmtId="0" fontId="5" fillId="4" borderId="16" xfId="0" applyFont="1" applyFill="1" applyBorder="1" applyAlignment="1">
      <alignment horizontal="left" indent="3"/>
    </xf>
    <xf numFmtId="0" fontId="5" fillId="4" borderId="17" xfId="0" applyFont="1" applyFill="1" applyBorder="1" applyAlignment="1">
      <alignment horizontal="left" indent="3"/>
    </xf>
    <xf numFmtId="164" fontId="6" fillId="4" borderId="18" xfId="0" applyNumberFormat="1" applyFont="1" applyFill="1" applyBorder="1" applyAlignment="1">
      <alignment horizontal="center"/>
    </xf>
    <xf numFmtId="164" fontId="6" fillId="4" borderId="19" xfId="0" applyNumberFormat="1" applyFont="1" applyFill="1" applyBorder="1" applyAlignment="1">
      <alignment horizontal="center"/>
    </xf>
    <xf numFmtId="0" fontId="10" fillId="7" borderId="4" xfId="0" applyFont="1" applyFill="1" applyBorder="1" applyAlignment="1"/>
    <xf numFmtId="0" fontId="12" fillId="7" borderId="5" xfId="0" applyFont="1" applyFill="1" applyBorder="1" applyAlignment="1"/>
    <xf numFmtId="0" fontId="9" fillId="7" borderId="5" xfId="0" applyFont="1" applyFill="1" applyBorder="1" applyAlignment="1">
      <alignment horizontal="center"/>
    </xf>
    <xf numFmtId="0" fontId="2" fillId="3" borderId="0" xfId="0" applyFont="1" applyFill="1"/>
    <xf numFmtId="164" fontId="2" fillId="3" borderId="0" xfId="1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8" borderId="0" xfId="0" applyFont="1" applyFill="1"/>
    <xf numFmtId="164" fontId="2" fillId="8" borderId="0" xfId="0" applyNumberFormat="1" applyFont="1" applyFill="1" applyAlignment="1">
      <alignment horizontal="center"/>
    </xf>
    <xf numFmtId="0" fontId="3" fillId="9" borderId="0" xfId="0" applyFont="1" applyFill="1"/>
    <xf numFmtId="0" fontId="3" fillId="9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20" xfId="0" applyBorder="1"/>
    <xf numFmtId="0" fontId="0" fillId="0" borderId="20" xfId="0" applyBorder="1" applyAlignment="1">
      <alignment horizontal="center"/>
    </xf>
    <xf numFmtId="9" fontId="0" fillId="0" borderId="20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9" fontId="0" fillId="0" borderId="0" xfId="0" applyNumberFormat="1" applyFill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SIMULADOR!$C$26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SIMULADOR!$B$27:$B$32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SIMULADOR!$C$27:$C$32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D-4F73-AA4F-D9BDDCB93C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996950</xdr:colOff>
      <xdr:row>22</xdr:row>
      <xdr:rowOff>25400</xdr:rowOff>
    </xdr:from>
    <xdr:to>
      <xdr:col>2</xdr:col>
      <xdr:colOff>1212850</xdr:colOff>
      <xdr:row>23</xdr:row>
      <xdr:rowOff>6350</xdr:rowOff>
    </xdr:to>
    <xdr:pic>
      <xdr:nvPicPr>
        <xdr:cNvPr id="5" name="Gráfico 4" descr="Filtro com preenchimento sólido">
          <a:extLst>
            <a:ext uri="{FF2B5EF4-FFF2-40B4-BE49-F238E27FC236}">
              <a16:creationId xmlns:a16="http://schemas.microsoft.com/office/drawing/2014/main" id="{23F03832-0E06-D8CC-783B-02118D2CF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648200" y="4883150"/>
          <a:ext cx="215900" cy="215900"/>
        </a:xfrm>
        <a:prstGeom prst="rect">
          <a:avLst/>
        </a:prstGeom>
      </xdr:spPr>
    </xdr:pic>
    <xdr:clientData/>
  </xdr:twoCellAnchor>
  <xdr:twoCellAnchor>
    <xdr:from>
      <xdr:col>1</xdr:col>
      <xdr:colOff>3174</xdr:colOff>
      <xdr:row>34</xdr:row>
      <xdr:rowOff>0</xdr:rowOff>
    </xdr:from>
    <xdr:to>
      <xdr:col>4</xdr:col>
      <xdr:colOff>19049</xdr:colOff>
      <xdr:row>48</xdr:row>
      <xdr:rowOff>3174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AB7D9A8-7454-7E00-50F8-6F7B38D39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ECD4-588F-4C61-8688-63289B91202E}">
  <dimension ref="A1:N48"/>
  <sheetViews>
    <sheetView showGridLines="0" showRowColHeaders="0" tabSelected="1" zoomScale="80" zoomScaleNormal="80" workbookViewId="0">
      <selection activeCell="D19" sqref="D19"/>
    </sheetView>
  </sheetViews>
  <sheetFormatPr defaultColWidth="0" defaultRowHeight="15" customHeight="1" zeroHeight="1" x14ac:dyDescent="0.35"/>
  <cols>
    <col min="1" max="1" width="5.453125" customWidth="1"/>
    <col min="2" max="2" width="46.81640625" customWidth="1"/>
    <col min="3" max="3" width="17.453125" bestFit="1" customWidth="1"/>
    <col min="4" max="4" width="15" customWidth="1"/>
    <col min="5" max="5" width="7.1796875" customWidth="1"/>
    <col min="6" max="7" width="16.7265625" hidden="1"/>
    <col min="8" max="8" width="14.90625" hidden="1"/>
    <col min="9" max="9" width="17.26953125" hidden="1"/>
    <col min="15" max="16384" width="8.7265625" hidden="1"/>
  </cols>
  <sheetData>
    <row r="1" spans="1:6" ht="23.5" x14ac:dyDescent="0.35">
      <c r="A1" s="1" t="s">
        <v>0</v>
      </c>
      <c r="B1" s="1"/>
      <c r="C1" s="1"/>
      <c r="D1" s="1"/>
      <c r="E1" s="1"/>
    </row>
    <row r="2" spans="1:6" thickBot="1" x14ac:dyDescent="0.4"/>
    <row r="3" spans="1:6" s="5" customFormat="1" ht="18.5" x14ac:dyDescent="0.45">
      <c r="B3" s="9" t="s">
        <v>1</v>
      </c>
      <c r="C3" s="10"/>
      <c r="D3" s="11"/>
    </row>
    <row r="4" spans="1:6" ht="17.5" x14ac:dyDescent="0.45">
      <c r="B4" s="12" t="s">
        <v>2</v>
      </c>
      <c r="C4" s="2"/>
      <c r="D4" s="13">
        <v>2000</v>
      </c>
    </row>
    <row r="5" spans="1:6" ht="17.5" x14ac:dyDescent="0.45">
      <c r="B5" s="14" t="s">
        <v>3</v>
      </c>
      <c r="C5" s="3"/>
      <c r="D5" s="15">
        <v>6.0000000000000001E-3</v>
      </c>
    </row>
    <row r="6" spans="1:6" ht="18" thickBot="1" x14ac:dyDescent="0.5">
      <c r="B6" s="16" t="s">
        <v>4</v>
      </c>
      <c r="C6" s="17"/>
      <c r="D6" s="18">
        <f>D4*30%</f>
        <v>600</v>
      </c>
    </row>
    <row r="7" spans="1:6" thickBot="1" x14ac:dyDescent="0.4">
      <c r="D7" s="19"/>
    </row>
    <row r="8" spans="1:6" s="5" customFormat="1" ht="18.5" x14ac:dyDescent="0.45">
      <c r="B8" s="20" t="s">
        <v>5</v>
      </c>
      <c r="C8" s="21"/>
      <c r="D8" s="22"/>
      <c r="F8" s="6"/>
    </row>
    <row r="9" spans="1:6" ht="17.5" x14ac:dyDescent="0.45">
      <c r="B9" s="12" t="s">
        <v>6</v>
      </c>
      <c r="C9" s="2"/>
      <c r="D9" s="23">
        <v>200</v>
      </c>
      <c r="E9" s="19"/>
    </row>
    <row r="10" spans="1:6" ht="17.5" x14ac:dyDescent="0.45">
      <c r="B10" s="14" t="s">
        <v>7</v>
      </c>
      <c r="C10" s="3"/>
      <c r="D10" s="24">
        <v>5</v>
      </c>
    </row>
    <row r="11" spans="1:6" ht="17.5" x14ac:dyDescent="0.45">
      <c r="B11" s="14" t="s">
        <v>8</v>
      </c>
      <c r="C11" s="3"/>
      <c r="D11" s="25">
        <v>1.0800000000000001E-2</v>
      </c>
    </row>
    <row r="12" spans="1:6" ht="17.5" x14ac:dyDescent="0.45">
      <c r="B12" s="26" t="s">
        <v>9</v>
      </c>
      <c r="C12" s="4"/>
      <c r="D12" s="27">
        <f>FV(taxa_mensal,qtd_anos*12,aporte*-1)</f>
        <v>16760.803871851687</v>
      </c>
    </row>
    <row r="13" spans="1:6" ht="18" thickBot="1" x14ac:dyDescent="0.5">
      <c r="B13" s="28" t="s">
        <v>10</v>
      </c>
      <c r="C13" s="29"/>
      <c r="D13" s="30" cm="1">
        <f t="array" ref="D13">patrimonio*rendimento_carteira</f>
        <v>100.56482323111013</v>
      </c>
    </row>
    <row r="14" spans="1:6" thickBot="1" x14ac:dyDescent="0.4"/>
    <row r="15" spans="1:6" s="5" customFormat="1" ht="18.5" x14ac:dyDescent="0.45">
      <c r="B15" s="20" t="s">
        <v>11</v>
      </c>
      <c r="C15" s="21"/>
      <c r="D15" s="31" t="s">
        <v>12</v>
      </c>
    </row>
    <row r="16" spans="1:6" ht="17.5" x14ac:dyDescent="0.45">
      <c r="A16" s="7">
        <v>2</v>
      </c>
      <c r="B16" s="32" t="s">
        <v>13</v>
      </c>
      <c r="C16" s="8">
        <f>FV($D$11,$A16*12,$D$9*-1)</f>
        <v>5446.172732116318</v>
      </c>
      <c r="D16" s="33">
        <f>C16*rendimento_carteira</f>
        <v>32.677036392697907</v>
      </c>
    </row>
    <row r="17" spans="1:4" ht="17.5" x14ac:dyDescent="0.45">
      <c r="A17" s="7">
        <v>5</v>
      </c>
      <c r="B17" s="34" t="s">
        <v>14</v>
      </c>
      <c r="C17" s="8">
        <f t="shared" ref="C17:C20" si="0">FV($D$11,$A17*12,$D$9*-1)</f>
        <v>16760.803871851687</v>
      </c>
      <c r="D17" s="33">
        <f>C17*rendimento_carteira</f>
        <v>100.56482323111013</v>
      </c>
    </row>
    <row r="18" spans="1:4" ht="17.5" x14ac:dyDescent="0.45">
      <c r="A18" s="7">
        <v>10</v>
      </c>
      <c r="B18" s="34" t="s">
        <v>15</v>
      </c>
      <c r="C18" s="8">
        <f t="shared" si="0"/>
        <v>48691.533250960019</v>
      </c>
      <c r="D18" s="33">
        <f>C18*rendimento_carteira</f>
        <v>292.14919950576012</v>
      </c>
    </row>
    <row r="19" spans="1:4" ht="17.5" x14ac:dyDescent="0.45">
      <c r="A19" s="7">
        <v>20</v>
      </c>
      <c r="B19" s="34" t="s">
        <v>16</v>
      </c>
      <c r="C19" s="8">
        <f t="shared" si="0"/>
        <v>225409.79865970465</v>
      </c>
      <c r="D19" s="33">
        <f>C19*rendimento_carteira</f>
        <v>1352.4587919582279</v>
      </c>
    </row>
    <row r="20" spans="1:4" ht="18" thickBot="1" x14ac:dyDescent="0.5">
      <c r="A20" s="7">
        <v>30</v>
      </c>
      <c r="B20" s="35" t="s">
        <v>17</v>
      </c>
      <c r="C20" s="36">
        <f t="shared" si="0"/>
        <v>866780.96206335025</v>
      </c>
      <c r="D20" s="37">
        <f>C20*rendimento_carteira</f>
        <v>5200.6857723801013</v>
      </c>
    </row>
    <row r="21" spans="1:4" ht="14.5" x14ac:dyDescent="0.35"/>
    <row r="22" spans="1:4" thickBot="1" x14ac:dyDescent="0.4"/>
    <row r="23" spans="1:4" ht="18.5" x14ac:dyDescent="0.45">
      <c r="B23" s="38" t="s">
        <v>18</v>
      </c>
      <c r="C23" s="40" t="s">
        <v>33</v>
      </c>
      <c r="D23" s="39"/>
    </row>
    <row r="24" spans="1:4" ht="14.5" x14ac:dyDescent="0.35">
      <c r="B24" s="41" t="s">
        <v>20</v>
      </c>
      <c r="C24" s="42">
        <f>aporte</f>
        <v>200</v>
      </c>
      <c r="D24" s="41"/>
    </row>
    <row r="25" spans="1:4" ht="14.5" x14ac:dyDescent="0.35"/>
    <row r="26" spans="1:4" ht="14.5" x14ac:dyDescent="0.35">
      <c r="B26" s="43" t="s">
        <v>21</v>
      </c>
      <c r="C26" s="43" t="s">
        <v>22</v>
      </c>
      <c r="D26" s="43" t="s">
        <v>23</v>
      </c>
    </row>
    <row r="27" spans="1:4" ht="14.5" x14ac:dyDescent="0.35">
      <c r="B27" s="44" t="s">
        <v>24</v>
      </c>
      <c r="C27" s="56">
        <f>_xlfn.XLOOKUP($C$23&amp;"-"&amp;B27,Planilha2!B:B,Planilha2!E:E)</f>
        <v>0.5</v>
      </c>
      <c r="D27" s="57">
        <f>C27*$C$24</f>
        <v>100</v>
      </c>
    </row>
    <row r="28" spans="1:4" ht="14.5" x14ac:dyDescent="0.35">
      <c r="B28" s="44" t="s">
        <v>25</v>
      </c>
      <c r="C28" s="56">
        <f>_xlfn.XLOOKUP($C$23&amp;"-"&amp;B28,Planilha2!B:B,Planilha2!E:E)</f>
        <v>0.1</v>
      </c>
      <c r="D28" s="57">
        <f t="shared" ref="D28:D32" si="1">C28*$C$24</f>
        <v>20</v>
      </c>
    </row>
    <row r="29" spans="1:4" ht="14.5" x14ac:dyDescent="0.35">
      <c r="B29" s="44" t="s">
        <v>26</v>
      </c>
      <c r="C29" s="56">
        <f>_xlfn.XLOOKUP($C$23&amp;"-"&amp;B29,Planilha2!B:B,Planilha2!E:E)</f>
        <v>0.05</v>
      </c>
      <c r="D29" s="57">
        <f t="shared" si="1"/>
        <v>10</v>
      </c>
    </row>
    <row r="30" spans="1:4" ht="14.5" x14ac:dyDescent="0.35">
      <c r="B30" s="44" t="s">
        <v>27</v>
      </c>
      <c r="C30" s="56">
        <f>_xlfn.XLOOKUP($C$23&amp;"-"&amp;B30,Planilha2!B:B,Planilha2!E:E)</f>
        <v>0.05</v>
      </c>
      <c r="D30" s="57">
        <f t="shared" si="1"/>
        <v>10</v>
      </c>
    </row>
    <row r="31" spans="1:4" ht="14.5" x14ac:dyDescent="0.35">
      <c r="B31" s="44" t="s">
        <v>28</v>
      </c>
      <c r="C31" s="56">
        <f>_xlfn.XLOOKUP($C$23&amp;"-"&amp;B31,Planilha2!B:B,Planilha2!E:E)</f>
        <v>0.2</v>
      </c>
      <c r="D31" s="57">
        <f t="shared" si="1"/>
        <v>40</v>
      </c>
    </row>
    <row r="32" spans="1:4" ht="14.5" x14ac:dyDescent="0.35">
      <c r="B32" s="44" t="s">
        <v>29</v>
      </c>
      <c r="C32" s="56">
        <f>_xlfn.XLOOKUP($C$23&amp;"-"&amp;B32,Planilha2!B:B,Planilha2!E:E)</f>
        <v>0.1</v>
      </c>
      <c r="D32" s="57">
        <f t="shared" si="1"/>
        <v>20</v>
      </c>
    </row>
    <row r="33" spans="2:4" ht="14.5" x14ac:dyDescent="0.35">
      <c r="B33" s="45"/>
      <c r="C33" s="45"/>
      <c r="D33" s="46">
        <f>SUM(D27:D32)</f>
        <v>200</v>
      </c>
    </row>
    <row r="34" spans="2:4" ht="14.5" x14ac:dyDescent="0.35"/>
    <row r="35" spans="2:4" ht="14.5" x14ac:dyDescent="0.35"/>
    <row r="36" spans="2:4" ht="14.5" x14ac:dyDescent="0.35"/>
    <row r="37" spans="2:4" ht="14.5" x14ac:dyDescent="0.35"/>
    <row r="38" spans="2:4" ht="14.5" x14ac:dyDescent="0.35"/>
    <row r="39" spans="2:4" ht="14.5" x14ac:dyDescent="0.35"/>
    <row r="40" spans="2:4" ht="14.5" x14ac:dyDescent="0.35"/>
    <row r="41" spans="2:4" ht="14.5" x14ac:dyDescent="0.35"/>
    <row r="42" spans="2:4" ht="14.5" x14ac:dyDescent="0.35"/>
    <row r="43" spans="2:4" ht="14.5" x14ac:dyDescent="0.35"/>
    <row r="44" spans="2:4" ht="14.5" x14ac:dyDescent="0.35"/>
    <row r="45" spans="2:4" ht="14.5" x14ac:dyDescent="0.35"/>
    <row r="46" spans="2:4" ht="14.5" x14ac:dyDescent="0.35"/>
    <row r="47" spans="2:4" ht="14.5" x14ac:dyDescent="0.35"/>
    <row r="48" spans="2:4" ht="14.5" x14ac:dyDescent="0.35"/>
  </sheetData>
  <mergeCells count="12">
    <mergeCell ref="B15:C15"/>
    <mergeCell ref="B9:C9"/>
    <mergeCell ref="B10:C10"/>
    <mergeCell ref="B11:C11"/>
    <mergeCell ref="B12:C12"/>
    <mergeCell ref="B13:C13"/>
    <mergeCell ref="A1:E1"/>
    <mergeCell ref="B3:D3"/>
    <mergeCell ref="B4:C4"/>
    <mergeCell ref="B5:C5"/>
    <mergeCell ref="B6:C6"/>
    <mergeCell ref="B8:D8"/>
  </mergeCells>
  <dataValidations disablePrompts="1" count="1">
    <dataValidation type="list" allowBlank="1" showInputMessage="1" showErrorMessage="1" sqref="C23" xr:uid="{4B761782-C2A5-417C-9FF3-4FC0703A80D9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F0056-087F-4583-9649-340A9B16C45B}">
  <dimension ref="B2:E20"/>
  <sheetViews>
    <sheetView workbookViewId="0">
      <selection activeCell="B13" sqref="B13"/>
    </sheetView>
  </sheetViews>
  <sheetFormatPr defaultRowHeight="14.5" x14ac:dyDescent="0.35"/>
  <cols>
    <col min="2" max="2" width="29.1796875" bestFit="1" customWidth="1"/>
    <col min="3" max="3" width="11.54296875" bestFit="1" customWidth="1"/>
    <col min="4" max="4" width="17.7265625" bestFit="1" customWidth="1"/>
  </cols>
  <sheetData>
    <row r="2" spans="2:5" x14ac:dyDescent="0.35">
      <c r="B2" s="47" t="s">
        <v>30</v>
      </c>
      <c r="C2" s="47" t="s">
        <v>18</v>
      </c>
      <c r="D2" s="48" t="s">
        <v>21</v>
      </c>
      <c r="E2" s="48" t="s">
        <v>31</v>
      </c>
    </row>
    <row r="3" spans="2:5" x14ac:dyDescent="0.35">
      <c r="B3" t="str">
        <f>C3&amp;"-"&amp;D3</f>
        <v>Conservador-PAPEL</v>
      </c>
      <c r="C3" t="s">
        <v>32</v>
      </c>
      <c r="D3" s="44" t="s">
        <v>24</v>
      </c>
      <c r="E3" s="49">
        <v>0.3</v>
      </c>
    </row>
    <row r="4" spans="2:5" x14ac:dyDescent="0.35">
      <c r="B4" t="str">
        <f t="shared" ref="B4:B20" si="0">C4&amp;"-"&amp;D4</f>
        <v>Conservador-TIJOLO</v>
      </c>
      <c r="C4" t="s">
        <v>32</v>
      </c>
      <c r="D4" s="44" t="s">
        <v>25</v>
      </c>
      <c r="E4" s="49">
        <v>0.5</v>
      </c>
    </row>
    <row r="5" spans="2:5" x14ac:dyDescent="0.35">
      <c r="B5" t="str">
        <f t="shared" si="0"/>
        <v>Conservador-HÍBRIDOS</v>
      </c>
      <c r="C5" t="s">
        <v>32</v>
      </c>
      <c r="D5" s="44" t="s">
        <v>26</v>
      </c>
      <c r="E5" s="49">
        <v>0.1</v>
      </c>
    </row>
    <row r="6" spans="2:5" x14ac:dyDescent="0.35">
      <c r="B6" t="str">
        <f t="shared" si="0"/>
        <v>Conservador-FOFs</v>
      </c>
      <c r="C6" t="s">
        <v>32</v>
      </c>
      <c r="D6" s="44" t="s">
        <v>27</v>
      </c>
      <c r="E6" s="49">
        <v>0.1</v>
      </c>
    </row>
    <row r="7" spans="2:5" x14ac:dyDescent="0.35">
      <c r="B7" t="str">
        <f t="shared" si="0"/>
        <v>Conservador-DESENVOLVIMENTO</v>
      </c>
      <c r="C7" t="s">
        <v>32</v>
      </c>
      <c r="D7" s="44" t="s">
        <v>28</v>
      </c>
      <c r="E7" s="49">
        <v>0</v>
      </c>
    </row>
    <row r="8" spans="2:5" ht="15" thickBot="1" x14ac:dyDescent="0.4">
      <c r="B8" s="50" t="str">
        <f t="shared" si="0"/>
        <v>Conservador-HOTELARIAS</v>
      </c>
      <c r="C8" s="50" t="s">
        <v>32</v>
      </c>
      <c r="D8" s="51" t="s">
        <v>29</v>
      </c>
      <c r="E8" s="52">
        <v>0</v>
      </c>
    </row>
    <row r="9" spans="2:5" x14ac:dyDescent="0.35">
      <c r="B9" t="str">
        <f t="shared" si="0"/>
        <v>Moderado-PAPEL</v>
      </c>
      <c r="C9" t="s">
        <v>19</v>
      </c>
      <c r="D9" s="44" t="s">
        <v>24</v>
      </c>
      <c r="E9" s="49">
        <v>0.32</v>
      </c>
    </row>
    <row r="10" spans="2:5" x14ac:dyDescent="0.35">
      <c r="B10" s="53" t="str">
        <f t="shared" si="0"/>
        <v>Moderado-TIJOLO</v>
      </c>
      <c r="C10" s="53" t="s">
        <v>19</v>
      </c>
      <c r="D10" s="54" t="s">
        <v>25</v>
      </c>
      <c r="E10" s="55">
        <v>0.35</v>
      </c>
    </row>
    <row r="11" spans="2:5" x14ac:dyDescent="0.35">
      <c r="B11" s="53" t="str">
        <f t="shared" si="0"/>
        <v>Moderado-HÍBRIDOS</v>
      </c>
      <c r="C11" s="53" t="s">
        <v>19</v>
      </c>
      <c r="D11" s="54" t="s">
        <v>26</v>
      </c>
      <c r="E11" s="55">
        <v>0.08</v>
      </c>
    </row>
    <row r="12" spans="2:5" x14ac:dyDescent="0.35">
      <c r="B12" t="str">
        <f t="shared" si="0"/>
        <v>Moderado-FOFs</v>
      </c>
      <c r="C12" t="s">
        <v>19</v>
      </c>
      <c r="D12" s="44" t="s">
        <v>27</v>
      </c>
      <c r="E12" s="49">
        <v>0.05</v>
      </c>
    </row>
    <row r="13" spans="2:5" x14ac:dyDescent="0.35">
      <c r="B13" t="str">
        <f t="shared" si="0"/>
        <v>Moderado-DESENVOLVIMENTO</v>
      </c>
      <c r="C13" t="s">
        <v>19</v>
      </c>
      <c r="D13" s="44" t="s">
        <v>28</v>
      </c>
      <c r="E13" s="49">
        <v>0.1</v>
      </c>
    </row>
    <row r="14" spans="2:5" ht="15" thickBot="1" x14ac:dyDescent="0.4">
      <c r="B14" s="50" t="str">
        <f t="shared" si="0"/>
        <v>Moderado-HOTELARIAS</v>
      </c>
      <c r="C14" s="50" t="s">
        <v>19</v>
      </c>
      <c r="D14" s="51" t="s">
        <v>29</v>
      </c>
      <c r="E14" s="52">
        <v>0.1</v>
      </c>
    </row>
    <row r="15" spans="2:5" x14ac:dyDescent="0.35">
      <c r="B15" t="str">
        <f t="shared" si="0"/>
        <v>Agressivo-PAPEL</v>
      </c>
      <c r="C15" t="s">
        <v>33</v>
      </c>
      <c r="D15" s="44" t="s">
        <v>24</v>
      </c>
      <c r="E15" s="49">
        <v>0.5</v>
      </c>
    </row>
    <row r="16" spans="2:5" x14ac:dyDescent="0.35">
      <c r="B16" t="str">
        <f t="shared" si="0"/>
        <v>Agressivo-TIJOLO</v>
      </c>
      <c r="C16" t="s">
        <v>33</v>
      </c>
      <c r="D16" s="44" t="s">
        <v>25</v>
      </c>
      <c r="E16" s="49">
        <v>0.1</v>
      </c>
    </row>
    <row r="17" spans="2:5" x14ac:dyDescent="0.35">
      <c r="B17" t="str">
        <f t="shared" si="0"/>
        <v>Agressivo-HÍBRIDOS</v>
      </c>
      <c r="C17" t="s">
        <v>33</v>
      </c>
      <c r="D17" s="44" t="s">
        <v>26</v>
      </c>
      <c r="E17" s="49">
        <v>0.05</v>
      </c>
    </row>
    <row r="18" spans="2:5" x14ac:dyDescent="0.35">
      <c r="B18" t="str">
        <f t="shared" si="0"/>
        <v>Agressivo-FOFs</v>
      </c>
      <c r="C18" t="s">
        <v>33</v>
      </c>
      <c r="D18" s="44" t="s">
        <v>27</v>
      </c>
      <c r="E18" s="49">
        <v>0.05</v>
      </c>
    </row>
    <row r="19" spans="2:5" x14ac:dyDescent="0.35">
      <c r="B19" t="str">
        <f t="shared" si="0"/>
        <v>Agressivo-DESENVOLVIMENTO</v>
      </c>
      <c r="C19" t="s">
        <v>33</v>
      </c>
      <c r="D19" s="44" t="s">
        <v>28</v>
      </c>
      <c r="E19" s="49">
        <v>0.2</v>
      </c>
    </row>
    <row r="20" spans="2:5" x14ac:dyDescent="0.35">
      <c r="B20" t="str">
        <f t="shared" si="0"/>
        <v>Agressivo-HOTELARIAS</v>
      </c>
      <c r="C20" t="s">
        <v>33</v>
      </c>
      <c r="D20" s="44" t="s">
        <v>29</v>
      </c>
      <c r="E20" s="4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SIMULADOR</vt:lpstr>
      <vt:lpstr>Planilha2</vt:lpstr>
      <vt:lpstr>a</vt:lpstr>
      <vt:lpstr>aporte</vt:lpstr>
      <vt:lpstr>patrimonio</vt:lpstr>
      <vt:lpstr>qtd_anos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Naelson Dos Santos</dc:creator>
  <cp:lastModifiedBy>Joaquim Naelson Dos Santos</cp:lastModifiedBy>
  <dcterms:created xsi:type="dcterms:W3CDTF">2026-08-29T04:49:38Z</dcterms:created>
  <dcterms:modified xsi:type="dcterms:W3CDTF">2026-08-30T02:43:08Z</dcterms:modified>
</cp:coreProperties>
</file>